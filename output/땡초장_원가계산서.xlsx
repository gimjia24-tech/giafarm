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땡초장 원가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9" fontId="0" fillId="3" borderId="1" pivotButton="0" quotePrefix="0" xfId="0"/>
    <xf numFmtId="3" fontId="0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3" fontId="2" fillId="4" borderId="1" pivotButton="0" quotePrefix="0" xfId="0"/>
    <xf numFmtId="9" fontId="0" fillId="4" borderId="1" pivotButton="0" quotePrefix="0" xfId="0"/>
    <xf numFmtId="165" fontId="0" fillId="4" borderId="1" pivotButton="0" quotePrefix="0" xfId="0"/>
    <xf numFmtId="0" fontId="0" fillId="2" borderId="1" pivotButton="0" quotePrefix="0" xfId="0"/>
    <xf numFmtId="9" fontId="0" fillId="0" borderId="1" pivotButton="0" quotePrefix="0" xfId="0"/>
    <xf numFmtId="9" fontId="0" fillId="3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</cols>
  <sheetData>
    <row r="2">
      <c r="B2" s="1" t="inlineStr">
        <is>
          <t>원가계산서 - 땡초장(고추만능장)</t>
        </is>
      </c>
    </row>
    <row r="3">
      <c r="B3" t="inlineStr">
        <is>
          <t>노란 칸은 입력값입니다. 바꾸면 전체가 자동 재계산됩니다.</t>
        </is>
      </c>
    </row>
    <row r="5">
      <c r="B5" s="2" t="inlineStr">
        <is>
          <t>제품규격(g)</t>
        </is>
      </c>
      <c r="C5" s="3" t="n">
        <v>250</v>
      </c>
    </row>
    <row r="6">
      <c r="B6" s="2" t="inlineStr">
        <is>
          <t>배합 기준량(g)</t>
        </is>
      </c>
      <c r="C6" s="4">
        <f>SUM(C11:C18)</f>
        <v/>
      </c>
    </row>
    <row r="7">
      <c r="B7" s="2" t="inlineStr">
        <is>
          <t>생고추 수율(%)</t>
        </is>
      </c>
      <c r="C7" s="5" t="n">
        <v>0.8</v>
      </c>
    </row>
    <row r="8">
      <c r="B8" s="2" t="inlineStr">
        <is>
          <t>목표 마진율</t>
        </is>
      </c>
      <c r="C8" s="17" t="n">
        <v>0.5</v>
      </c>
    </row>
    <row r="10">
      <c r="B10" s="2" t="inlineStr">
        <is>
          <t>원재료</t>
        </is>
      </c>
      <c r="C10" s="2" t="inlineStr">
        <is>
          <t>배합량(g)</t>
        </is>
      </c>
      <c r="D10" s="2" t="inlineStr">
        <is>
          <t>단가(원/kg)</t>
        </is>
      </c>
      <c r="E10" s="2" t="inlineStr">
        <is>
          <t>배합 원가(원)</t>
        </is>
      </c>
      <c r="F10" s="2" t="inlineStr">
        <is>
          <t>구성비</t>
        </is>
      </c>
      <c r="G10" s="2" t="inlineStr">
        <is>
          <t>제품 투입량(g)</t>
        </is>
      </c>
      <c r="H10" s="2" t="inlineStr">
        <is>
          <t>제품 원가(원)</t>
        </is>
      </c>
    </row>
    <row r="11">
      <c r="B11" s="4" t="inlineStr">
        <is>
          <t>생고추</t>
        </is>
      </c>
      <c r="C11" s="3" t="n">
        <v>1500</v>
      </c>
      <c r="D11" s="6" t="n">
        <v>6000</v>
      </c>
      <c r="E11" s="7">
        <f>C11*D11/1000/$C$7</f>
        <v/>
      </c>
      <c r="F11" s="8">
        <f>C11/$C$6</f>
        <v/>
      </c>
      <c r="G11" s="9">
        <f>F11*$C$5</f>
        <v/>
      </c>
      <c r="H11" s="7">
        <f>E11/$C$6*$C$5</f>
        <v/>
      </c>
    </row>
    <row r="12">
      <c r="B12" s="4" t="inlineStr">
        <is>
          <t>식용류</t>
        </is>
      </c>
      <c r="C12" s="3" t="n">
        <v>200</v>
      </c>
      <c r="D12" s="6" t="n">
        <v>6000</v>
      </c>
      <c r="E12" s="7">
        <f>C12*D12/1000</f>
        <v/>
      </c>
      <c r="F12" s="8">
        <f>C12/$C$6</f>
        <v/>
      </c>
      <c r="G12" s="9">
        <f>F12*$C$5</f>
        <v/>
      </c>
      <c r="H12" s="7">
        <f>E12/$C$6*$C$5</f>
        <v/>
      </c>
    </row>
    <row r="13">
      <c r="B13" s="4" t="inlineStr">
        <is>
          <t>올리고당</t>
        </is>
      </c>
      <c r="C13" s="3" t="n">
        <v>125</v>
      </c>
      <c r="D13" s="6" t="n">
        <v>2400</v>
      </c>
      <c r="E13" s="7">
        <f>C13*D13/1000</f>
        <v/>
      </c>
      <c r="F13" s="8">
        <f>C13/$C$6</f>
        <v/>
      </c>
      <c r="G13" s="9">
        <f>F13*$C$5</f>
        <v/>
      </c>
      <c r="H13" s="7">
        <f>E13/$C$6*$C$5</f>
        <v/>
      </c>
    </row>
    <row r="14">
      <c r="B14" s="4" t="inlineStr">
        <is>
          <t>건새우가루</t>
        </is>
      </c>
      <c r="C14" s="3" t="n">
        <v>85</v>
      </c>
      <c r="D14" s="6" t="n">
        <v>32000</v>
      </c>
      <c r="E14" s="7">
        <f>C14*D14/1000</f>
        <v/>
      </c>
      <c r="F14" s="8">
        <f>C14/$C$6</f>
        <v/>
      </c>
      <c r="G14" s="9">
        <f>F14*$C$5</f>
        <v/>
      </c>
      <c r="H14" s="7">
        <f>E14/$C$6*$C$5</f>
        <v/>
      </c>
    </row>
    <row r="15">
      <c r="B15" s="4" t="inlineStr">
        <is>
          <t>소고기다시다</t>
        </is>
      </c>
      <c r="C15" s="3" t="n">
        <v>75</v>
      </c>
      <c r="D15" s="6" t="n">
        <v>21000</v>
      </c>
      <c r="E15" s="7">
        <f>C15*D15/1000</f>
        <v/>
      </c>
      <c r="F15" s="8">
        <f>C15/$C$6</f>
        <v/>
      </c>
      <c r="G15" s="9">
        <f>F15*$C$5</f>
        <v/>
      </c>
      <c r="H15" s="7">
        <f>E15/$C$6*$C$5</f>
        <v/>
      </c>
    </row>
    <row r="16">
      <c r="B16" s="4" t="inlineStr">
        <is>
          <t>마늘</t>
        </is>
      </c>
      <c r="C16" s="3" t="n">
        <v>75</v>
      </c>
      <c r="D16" s="6" t="n">
        <v>10000</v>
      </c>
      <c r="E16" s="7">
        <f>C16*D16/1000</f>
        <v/>
      </c>
      <c r="F16" s="8">
        <f>C16/$C$6</f>
        <v/>
      </c>
      <c r="G16" s="9">
        <f>F16*$C$5</f>
        <v/>
      </c>
      <c r="H16" s="7">
        <f>E16/$C$6*$C$5</f>
        <v/>
      </c>
    </row>
    <row r="17">
      <c r="B17" s="4" t="inlineStr">
        <is>
          <t>참치액</t>
        </is>
      </c>
      <c r="C17" s="3" t="n">
        <v>50</v>
      </c>
      <c r="D17" s="6" t="n">
        <v>5800</v>
      </c>
      <c r="E17" s="7">
        <f>C17*D17/1000</f>
        <v/>
      </c>
      <c r="F17" s="8">
        <f>C17/$C$6</f>
        <v/>
      </c>
      <c r="G17" s="9">
        <f>F17*$C$5</f>
        <v/>
      </c>
      <c r="H17" s="7">
        <f>E17/$C$6*$C$5</f>
        <v/>
      </c>
    </row>
    <row r="18">
      <c r="B18" s="4" t="inlineStr">
        <is>
          <t>생강</t>
        </is>
      </c>
      <c r="C18" s="3" t="n">
        <v>15</v>
      </c>
      <c r="D18" s="6" t="n">
        <v>25000</v>
      </c>
      <c r="E18" s="7">
        <f>C18*D18/1000</f>
        <v/>
      </c>
      <c r="F18" s="8">
        <f>C18/$C$6</f>
        <v/>
      </c>
      <c r="G18" s="9">
        <f>F18*$C$5</f>
        <v/>
      </c>
      <c r="H18" s="7">
        <f>E18/$C$6*$C$5</f>
        <v/>
      </c>
    </row>
    <row r="19">
      <c r="B19" s="10" t="inlineStr">
        <is>
          <t>합계</t>
        </is>
      </c>
      <c r="C19" s="11">
        <f>SUM(C11:C18)</f>
        <v/>
      </c>
      <c r="D19" s="11" t="inlineStr"/>
      <c r="E19" s="12">
        <f>SUM(E11:E18)</f>
        <v/>
      </c>
      <c r="F19" s="13">
        <f>SUM(F11:F18)</f>
        <v/>
      </c>
      <c r="G19" s="14">
        <f>SUM(G11:G18)</f>
        <v/>
      </c>
      <c r="H19" s="12">
        <f>SUM(H11:H18)</f>
        <v/>
      </c>
    </row>
    <row r="20">
      <c r="B20" t="inlineStr">
        <is>
          <t>※ 생고추 원가는 수율로 나눠 손질 손실을 반영했습니다. (수율 100%면 반영 없음)</t>
        </is>
      </c>
    </row>
    <row r="22">
      <c r="B22" s="2" t="inlineStr">
        <is>
          <t>2. 인건비 (2명)</t>
        </is>
      </c>
    </row>
    <row r="23">
      <c r="B23" s="15" t="inlineStr"/>
      <c r="C23" s="2" t="inlineStr">
        <is>
          <t>시급(원)</t>
        </is>
      </c>
      <c r="D23" s="2" t="inlineStr">
        <is>
          <t>인원(명)</t>
        </is>
      </c>
      <c r="E23" s="2" t="inlineStr">
        <is>
          <t>총생산량(병)</t>
        </is>
      </c>
      <c r="F23" s="2" t="inlineStr">
        <is>
          <t>투입시간(h)</t>
        </is>
      </c>
      <c r="G23" s="2" t="inlineStr">
        <is>
          <t>병당 인건비(원)</t>
        </is>
      </c>
    </row>
    <row r="24">
      <c r="B24" s="4" t="inlineStr">
        <is>
          <t>2명</t>
        </is>
      </c>
      <c r="C24" s="6" t="n">
        <v>15000</v>
      </c>
      <c r="D24" s="3" t="n">
        <v>2</v>
      </c>
      <c r="E24" s="3" t="n">
        <v>640</v>
      </c>
      <c r="F24" s="3" t="n">
        <v>16</v>
      </c>
      <c r="G24" s="7">
        <f>C24*D24*F24/E24</f>
        <v/>
      </c>
    </row>
    <row r="26">
      <c r="B26" s="2" t="inlineStr">
        <is>
          <t>3. 부자재 (병당)</t>
        </is>
      </c>
      <c r="C26" s="2" t="inlineStr">
        <is>
          <t>원가(원)</t>
        </is>
      </c>
    </row>
    <row r="27">
      <c r="B27" s="4" t="inlineStr">
        <is>
          <t>용기</t>
        </is>
      </c>
      <c r="C27" s="6" t="n">
        <v>373</v>
      </c>
    </row>
    <row r="28">
      <c r="B28" s="4" t="inlineStr">
        <is>
          <t>마개</t>
        </is>
      </c>
      <c r="C28" s="6" t="n">
        <v>100</v>
      </c>
    </row>
    <row r="29">
      <c r="B29" s="4" t="inlineStr">
        <is>
          <t>실링지</t>
        </is>
      </c>
      <c r="C29" s="6" t="n">
        <v>200</v>
      </c>
    </row>
    <row r="30">
      <c r="B30" s="4" t="inlineStr">
        <is>
          <t>스티커윗면</t>
        </is>
      </c>
      <c r="C30" s="6" t="n">
        <v>66</v>
      </c>
    </row>
    <row r="31">
      <c r="B31" s="4" t="inlineStr">
        <is>
          <t>스티커측면</t>
        </is>
      </c>
      <c r="C31" s="6" t="n">
        <v>55</v>
      </c>
    </row>
    <row r="32">
      <c r="B32" s="4" t="inlineStr">
        <is>
          <t>전기/수도세</t>
        </is>
      </c>
      <c r="C32" s="6" t="n">
        <v>0</v>
      </c>
    </row>
    <row r="33">
      <c r="B33" s="4" t="inlineStr">
        <is>
          <t>기타 판관비</t>
        </is>
      </c>
      <c r="C33" s="6" t="n">
        <v>0</v>
      </c>
    </row>
    <row r="34">
      <c r="B34" s="4" t="inlineStr">
        <is>
          <t>Box</t>
        </is>
      </c>
      <c r="C34" s="6" t="n">
        <v>0</v>
      </c>
    </row>
    <row r="35">
      <c r="B35" s="10" t="inlineStr">
        <is>
          <t>소계</t>
        </is>
      </c>
      <c r="C35" s="12">
        <f>SUM(C27:C34)</f>
        <v/>
      </c>
    </row>
    <row r="37">
      <c r="B37" s="2" t="inlineStr">
        <is>
          <t>★ 최종 요약</t>
        </is>
      </c>
      <c r="C37" s="2" t="inlineStr">
        <is>
          <t>금액(원)</t>
        </is>
      </c>
    </row>
    <row r="38">
      <c r="B38" s="4" t="inlineStr">
        <is>
          <t>원재료비</t>
        </is>
      </c>
      <c r="C38" s="7">
        <f>H19</f>
        <v/>
      </c>
    </row>
    <row r="39">
      <c r="B39" s="4" t="inlineStr">
        <is>
          <t>인건비</t>
        </is>
      </c>
      <c r="C39" s="7">
        <f>G24</f>
        <v/>
      </c>
    </row>
    <row r="40">
      <c r="B40" s="4" t="inlineStr">
        <is>
          <t>부자재</t>
        </is>
      </c>
      <c r="C40" s="7">
        <f>C35</f>
        <v/>
      </c>
    </row>
    <row r="41">
      <c r="B41" s="10" t="inlineStr">
        <is>
          <t>병당 제조원가</t>
        </is>
      </c>
      <c r="C41" s="12">
        <f>SUM(C38:C40)</f>
        <v/>
      </c>
    </row>
    <row r="43">
      <c r="B43" s="2" t="inlineStr">
        <is>
          <t>판매가(입력)</t>
        </is>
      </c>
      <c r="C43" s="6" t="n">
        <v>10900</v>
      </c>
    </row>
    <row r="44">
      <c r="B44" s="4" t="inlineStr">
        <is>
          <t>이익(원)</t>
        </is>
      </c>
      <c r="C44" s="7">
        <f>C43-C41</f>
        <v/>
      </c>
    </row>
    <row r="45">
      <c r="B45" s="4" t="inlineStr">
        <is>
          <t>이익률(%)</t>
        </is>
      </c>
      <c r="C45" s="8">
        <f>C44/C43</f>
        <v/>
      </c>
    </row>
    <row r="47">
      <c r="B47" s="2" t="inlineStr">
        <is>
          <t>목표 마진율</t>
        </is>
      </c>
      <c r="C47" s="2" t="inlineStr">
        <is>
          <t>권장 판매가(원)</t>
        </is>
      </c>
    </row>
    <row r="48">
      <c r="B48" s="16" t="n">
        <v>0.3</v>
      </c>
      <c r="C48" s="7">
        <f>ROUNDUP($C$41/(1-B48),-1)</f>
        <v/>
      </c>
    </row>
    <row r="49">
      <c r="B49" s="16" t="n">
        <v>0.4</v>
      </c>
      <c r="C49" s="7">
        <f>ROUNDUP($C$41/(1-B49),-1)</f>
        <v/>
      </c>
    </row>
    <row r="50">
      <c r="B50" s="16" t="n">
        <v>0.5</v>
      </c>
      <c r="C50" s="7">
        <f>ROUNDUP($C$41/(1-B50),-1)</f>
        <v/>
      </c>
    </row>
    <row r="52">
      <c r="B52" s="18" t="inlineStr">
        <is>
          <t>★ 목표 마진율 적용가</t>
        </is>
      </c>
      <c r="C52" s="19">
        <f>ROUNDUP($C$41/(1-$C$8),-1)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2026-10-04T21:18:37Z</dcterms:created>
  <dcterms:modified xsi:type="dcterms:W3CDTF">2026-10-04T21:21:12Z</dcterms:modified>
</cp:coreProperties>
</file>